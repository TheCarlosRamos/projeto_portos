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teus.souza\Desktop\Trabalhos em andamento\2026-01-12 - Painéis pós leilão\Portos\"/>
    </mc:Choice>
  </mc:AlternateContent>
  <xr:revisionPtr revIDLastSave="0" documentId="8_{44F6B605-8972-4CBA-B44A-F24335A2728E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Tabela 00 - Cadastro" sheetId="11" r:id="rId1"/>
    <sheet name="Tabela 01 - Serviços" sheetId="1" r:id="rId2"/>
    <sheet name="Tabela 02 - Acompanhamento" sheetId="8" r:id="rId3"/>
    <sheet name="Auxiliar" sheetId="3" r:id="rId4"/>
    <sheet name="Relações entre tabela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I2" i="1"/>
  <c r="I3" i="1"/>
  <c r="I4" i="1"/>
  <c r="I5" i="1"/>
  <c r="I6" i="1"/>
  <c r="I7" i="1"/>
  <c r="I8" i="1"/>
  <c r="I9" i="1"/>
  <c r="N2" i="1"/>
  <c r="J4" i="8" s="1"/>
  <c r="N3" i="1"/>
  <c r="N4" i="1"/>
  <c r="N5" i="1"/>
  <c r="N6" i="1"/>
  <c r="N7" i="1"/>
  <c r="N8" i="1"/>
  <c r="N9" i="1"/>
  <c r="J2" i="8" l="1"/>
  <c r="J3" i="8"/>
</calcChain>
</file>

<file path=xl/sharedStrings.xml><?xml version="1.0" encoding="utf-8"?>
<sst xmlns="http://schemas.openxmlformats.org/spreadsheetml/2006/main" count="441" uniqueCount="161">
  <si>
    <t>Responsável</t>
  </si>
  <si>
    <t>Cargo</t>
  </si>
  <si>
    <t>UF</t>
  </si>
  <si>
    <t>Obj. de Concessão</t>
  </si>
  <si>
    <t>Zona portuária</t>
  </si>
  <si>
    <t>Tipo de Serviço</t>
  </si>
  <si>
    <t>Serviço</t>
  </si>
  <si>
    <t>% de CAPEX para o serviço</t>
  </si>
  <si>
    <t>CAPEX do Serviço</t>
  </si>
  <si>
    <t>CAPEX (Reaj.)</t>
  </si>
  <si>
    <t>Data da atualização</t>
  </si>
  <si>
    <t>Setor</t>
  </si>
  <si>
    <t>SP</t>
  </si>
  <si>
    <t>TECON 10</t>
  </si>
  <si>
    <t>Mateus</t>
  </si>
  <si>
    <t>PPI</t>
  </si>
  <si>
    <t>Fulano</t>
  </si>
  <si>
    <t>MPOR</t>
  </si>
  <si>
    <t>Nome da zona portuária a ser concedida, conforme exemplos abaixo. Aceita textos curtos.</t>
  </si>
  <si>
    <t>RJ</t>
  </si>
  <si>
    <t>Descrever o objeto específico da Concessão, que pode ser um Terminal, o Canal, a Administração do porto.</t>
  </si>
  <si>
    <t>Coluna</t>
  </si>
  <si>
    <t>Descrição do tipo de dado</t>
  </si>
  <si>
    <t>Dados exemplificativos</t>
  </si>
  <si>
    <t>Analista</t>
  </si>
  <si>
    <t>Restrições</t>
  </si>
  <si>
    <t>Tipo</t>
  </si>
  <si>
    <t>Descrição</t>
  </si>
  <si>
    <t>Arrendamento</t>
  </si>
  <si>
    <t>Concessão</t>
  </si>
  <si>
    <t>Terminal destinado à movimentação e armazenagem de carga conteinerizada e carga geral.</t>
  </si>
  <si>
    <t>Coordenada E (UTM)</t>
  </si>
  <si>
    <t>Coordenada S (UTM)</t>
  </si>
  <si>
    <t>Fuso</t>
  </si>
  <si>
    <t>363506.31</t>
  </si>
  <si>
    <t>7353284.66</t>
  </si>
  <si>
    <t>Hidrovia do Paraguai</t>
  </si>
  <si>
    <t>MT; MS</t>
  </si>
  <si>
    <t>Hidrovia no trecho brasileiro fazendo divisa com Paraguai e Bolívia.</t>
  </si>
  <si>
    <t>TPM Macéio</t>
  </si>
  <si>
    <t>AL</t>
  </si>
  <si>
    <t>Porto Organizado de Maceió</t>
  </si>
  <si>
    <t>Porto Organizado de Santos</t>
  </si>
  <si>
    <t>Terminal destinado a movimentação de passageiros.</t>
  </si>
  <si>
    <t>Porto Organizado do Rio de Janeiro</t>
  </si>
  <si>
    <t>RDJ07</t>
  </si>
  <si>
    <t>Terminal portuário destinado à movimentação e armazenagem de carga para apoio logístico Offshore.</t>
  </si>
  <si>
    <t>Não se aplica</t>
  </si>
  <si>
    <t>PR</t>
  </si>
  <si>
    <t>Canal de Paranaguá</t>
  </si>
  <si>
    <t xml:space="preserve"> Acesso aquaviário (canal de acesso) ao Porto de Paranaguá.</t>
  </si>
  <si>
    <t>Data de assinatura do contrato</t>
  </si>
  <si>
    <t>Fase</t>
  </si>
  <si>
    <t>1ª</t>
  </si>
  <si>
    <t>Disponibilidade de Infraestrutura</t>
  </si>
  <si>
    <t>CAPEX Total</t>
  </si>
  <si>
    <t>Fonte (Prazo)</t>
  </si>
  <si>
    <t>Fonte (% do CAPEX)</t>
  </si>
  <si>
    <t xml:space="preserve">Alargamento de bacia de evolução </t>
  </si>
  <si>
    <t>CMO</t>
  </si>
  <si>
    <t xml:space="preserve">Evolução para  13,3m </t>
  </si>
  <si>
    <t>Dragagem de Implantação de canal</t>
  </si>
  <si>
    <t>Dragagem de Implantação de berços</t>
  </si>
  <si>
    <t>a) berços 201-215; e b) berços 216-218</t>
  </si>
  <si>
    <t>Trechos Charlie 1 e 3</t>
  </si>
  <si>
    <t>Prazo início (anos)</t>
  </si>
  <si>
    <t>Data de início</t>
  </si>
  <si>
    <t>Data final</t>
  </si>
  <si>
    <t>Prazo final (anos)</t>
  </si>
  <si>
    <t>3-i</t>
  </si>
  <si>
    <t>3-f</t>
  </si>
  <si>
    <t>Derrocamento</t>
  </si>
  <si>
    <t>Pedra da Palangana - retificação do canal de acesso</t>
  </si>
  <si>
    <t>2ª</t>
  </si>
  <si>
    <t>Evolução para e 15,5m</t>
  </si>
  <si>
    <t>a) berços 216-218; b) Pier L; c) Píer F; e d) Píer T</t>
  </si>
  <si>
    <t>EVTEA - Plano de Exploração</t>
  </si>
  <si>
    <t>Pedra da Palangana - integração da área à bacia de evolução e manobras</t>
  </si>
  <si>
    <t>Implantação de Sistema</t>
  </si>
  <si>
    <t>Sistemas de Gerenciamento do Tráfego (VTS/VTMIS)</t>
  </si>
  <si>
    <t>% executada</t>
  </si>
  <si>
    <t>Riscos Relacionados (Tipo)</t>
  </si>
  <si>
    <t>Riscos Relacionados (Descrição)</t>
  </si>
  <si>
    <t>Meio Ambiente</t>
  </si>
  <si>
    <t>Parte do trecho está com pendência de licenciamento ambiental</t>
  </si>
  <si>
    <t>Financeiro</t>
  </si>
  <si>
    <t>Concessionária está com problemas financeiros para continuidade</t>
  </si>
  <si>
    <t>Ainda não foi obtida Licença Operacional</t>
  </si>
  <si>
    <t>Tabela 00 - Cadastro</t>
  </si>
  <si>
    <t>Descrição Geral</t>
  </si>
  <si>
    <t>Trata-se do cadastro inicial de cada objeto específico de concessão. Vai se referir a chave primária para relação com as demais tabelas.</t>
  </si>
  <si>
    <t>Unidade federativa do porto, aceita uma ou mais unidades federativas.</t>
  </si>
  <si>
    <t>Autorização</t>
  </si>
  <si>
    <t>FIXO (Concessão; Arrendamento ou Autorização)</t>
  </si>
  <si>
    <t>Valor total do CAPEX previsto nos estudos para toda concessão.</t>
  </si>
  <si>
    <t>Ex:</t>
  </si>
  <si>
    <t>Data da assinatura do contrato.</t>
  </si>
  <si>
    <t>Descrição livre do objeto de concessão</t>
  </si>
  <si>
    <t>Para visualização (SIG)</t>
  </si>
  <si>
    <t>Nomes curtos</t>
  </si>
  <si>
    <t>Siglas dos estados, uma ou mais.</t>
  </si>
  <si>
    <t>Nomes curtos (buscar padronização, talvez um autocompletar para facilitar na hora do preenchimento, pois poderão existir mais de objeto de concessão no mesmo porto).</t>
  </si>
  <si>
    <t>3 opções unicas</t>
  </si>
  <si>
    <t>Monetário (Real)</t>
  </si>
  <si>
    <t>Data: (11/11/2011)</t>
  </si>
  <si>
    <t>Livre</t>
  </si>
  <si>
    <t>Número</t>
  </si>
  <si>
    <t>Descrição geral</t>
  </si>
  <si>
    <t>Tabela 01 - Serviços</t>
  </si>
  <si>
    <t>Trata-se do banco de dados onde serão cadastrados os serviços a serem realizados nos objetos de concessão. Cada serviço será um registro e um conjunto de serviço estará vinculado a um registro da Tabela 00.</t>
  </si>
  <si>
    <t>Trata-se de uma classificação MACRO do serviço. Uma classe mais genérica.</t>
  </si>
  <si>
    <t>1ª, 2ª, 3ª (...)</t>
  </si>
  <si>
    <t>Uma classificação ainda geral, mas mais detalhada do serviço.</t>
  </si>
  <si>
    <t>Descrição mais livre que tornará o serviço único.</t>
  </si>
  <si>
    <t>Nº do ano acrescido de de "i" ou "f". "i" refere-se ao início do ano e "f" ao final.</t>
  </si>
  <si>
    <t>4-f</t>
  </si>
  <si>
    <t>Será calculada considerando o prazo e a data de assinatura do contrato (Data + nº de anos).</t>
  </si>
  <si>
    <t>DATA+[PRAZO-1ANO+1DIA] -&gt; Se "i"</t>
  </si>
  <si>
    <t>DATA+[PRAZO] -&gt; Se "f"</t>
  </si>
  <si>
    <t>De onde foi tirado as informações.</t>
  </si>
  <si>
    <t>% do CAPEX estimada para o serviço.</t>
  </si>
  <si>
    <t>Valor do CAPEX considerando a % estimada</t>
  </si>
  <si>
    <t>Fonte da % do CAPEX, pode ser "Estimado" ou de algum estudo.</t>
  </si>
  <si>
    <t>Lista suspensa com possibilidade de acrescentar opções.</t>
  </si>
  <si>
    <t>Conforme formato exemplificado.</t>
  </si>
  <si>
    <t>Descrição livre.</t>
  </si>
  <si>
    <t>Automático</t>
  </si>
  <si>
    <t>Porcentagem</t>
  </si>
  <si>
    <t>Tabela 02 - Acompanhamento</t>
  </si>
  <si>
    <t>% do serviço executa no dia de atualização.</t>
  </si>
  <si>
    <t>Reajuste do CAPEX total se houver.</t>
  </si>
  <si>
    <t>Quem atualizou</t>
  </si>
  <si>
    <t>Cargo de quem atualizou</t>
  </si>
  <si>
    <t>Setor de quem atualizou</t>
  </si>
  <si>
    <t>Carlos</t>
  </si>
  <si>
    <t>Estagiário</t>
  </si>
  <si>
    <t>Técnico</t>
  </si>
  <si>
    <t>Valores em porcentagem.</t>
  </si>
  <si>
    <t>Valor monetário</t>
  </si>
  <si>
    <t>Data (11/11/2011)</t>
  </si>
  <si>
    <t>Lista suspensa com possibilidade de incluir novas opções.</t>
  </si>
  <si>
    <t>Risco relacionado ao alcance das próximas etapas.</t>
  </si>
  <si>
    <t>Classificação do risco relacionado a próxima etapa.</t>
  </si>
  <si>
    <t>Meio ambiente</t>
  </si>
  <si>
    <t>Descrição mais livre.</t>
  </si>
  <si>
    <t>Chave primária da tabela 00 para os outros cadastros.</t>
  </si>
  <si>
    <t>Chave primária da tabela 01 para os outros cadastros.</t>
  </si>
  <si>
    <t>Cadastro único da tabela de acompanhamento</t>
  </si>
  <si>
    <t>RELAÇÃO ENTRE OS DADOS</t>
  </si>
  <si>
    <t>Descrição do serviço</t>
  </si>
  <si>
    <t>753202.27</t>
  </si>
  <si>
    <t>7177980.34</t>
  </si>
  <si>
    <t>Estimado</t>
  </si>
  <si>
    <t>Valor executado</t>
  </si>
  <si>
    <t>683608.71</t>
  </si>
  <si>
    <t>7466878.73</t>
  </si>
  <si>
    <t>SSB01</t>
  </si>
  <si>
    <t>Porto Organizado de São Sebastião</t>
  </si>
  <si>
    <t>Pátio de cargas para movimentação de carga conteinerizada, dentre outras.</t>
  </si>
  <si>
    <t>459300.75</t>
  </si>
  <si>
    <t>7366609.17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</si>
</sst>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6" borderId="0" xfId="0" applyFill="1"/>
    <xf numFmtId="0" fontId="0" fillId="7" borderId="0" xfId="0" applyFill="1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2" fillId="7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0" fillId="0" borderId="7" xfId="0" applyBorder="1" applyAlignment="1">
      <alignment vertical="center" wrapText="1"/>
    </xf>
    <xf numFmtId="44" fontId="0" fillId="0" borderId="1" xfId="1" applyFont="1" applyBorder="1"/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0" fillId="8" borderId="0" xfId="0" applyFill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9" borderId="1" xfId="0" applyFill="1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2" xfId="0" applyBorder="1" applyAlignment="1">
      <alignment vertical="center" wrapText="1"/>
    </xf>
    <xf numFmtId="0" fontId="2" fillId="6" borderId="1" xfId="0" applyFont="1" applyFill="1" applyBorder="1" applyAlignment="1">
      <alignment horizontal="center"/>
    </xf>
    <xf numFmtId="0" fontId="0" fillId="0" borderId="5" xfId="0" applyBorder="1"/>
    <xf numFmtId="0" fontId="0" fillId="0" borderId="13" xfId="0" applyBorder="1"/>
    <xf numFmtId="0" fontId="0" fillId="9" borderId="1" xfId="0" applyFill="1" applyBorder="1" applyAlignment="1">
      <alignment vertical="center"/>
    </xf>
    <xf numFmtId="0" fontId="2" fillId="8" borderId="1" xfId="0" applyFont="1" applyFill="1" applyBorder="1"/>
    <xf numFmtId="9" fontId="0" fillId="0" borderId="1" xfId="2" applyFont="1" applyBorder="1"/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/>
    </xf>
    <xf numFmtId="0" fontId="2" fillId="7" borderId="14" xfId="0" applyFont="1" applyFill="1" applyBorder="1"/>
    <xf numFmtId="0" fontId="2" fillId="7" borderId="15" xfId="0" applyFont="1" applyFill="1" applyBorder="1"/>
    <xf numFmtId="0" fontId="2" fillId="7" borderId="16" xfId="0" applyFont="1" applyFill="1" applyBorder="1"/>
    <xf numFmtId="0" fontId="2" fillId="6" borderId="14" xfId="0" applyFont="1" applyFill="1" applyBorder="1"/>
    <xf numFmtId="0" fontId="2" fillId="6" borderId="15" xfId="0" applyFont="1" applyFill="1" applyBorder="1"/>
    <xf numFmtId="0" fontId="2" fillId="6" borderId="16" xfId="0" applyFont="1" applyFill="1" applyBorder="1"/>
    <xf numFmtId="0" fontId="0" fillId="11" borderId="17" xfId="0" applyFill="1" applyBorder="1"/>
    <xf numFmtId="0" fontId="0" fillId="11" borderId="18" xfId="0" applyFill="1" applyBorder="1"/>
    <xf numFmtId="0" fontId="0" fillId="11" borderId="19" xfId="0" applyFill="1" applyBorder="1"/>
    <xf numFmtId="0" fontId="0" fillId="11" borderId="20" xfId="0" applyFill="1" applyBorder="1"/>
    <xf numFmtId="0" fontId="0" fillId="11" borderId="22" xfId="0" applyFill="1" applyBorder="1"/>
    <xf numFmtId="0" fontId="0" fillId="11" borderId="23" xfId="0" applyFill="1" applyBorder="1"/>
    <xf numFmtId="0" fontId="0" fillId="11" borderId="24" xfId="0" applyFill="1" applyBorder="1"/>
    <xf numFmtId="0" fontId="0" fillId="11" borderId="21" xfId="0" applyFill="1" applyBorder="1"/>
    <xf numFmtId="0" fontId="0" fillId="11" borderId="0" xfId="0" applyFill="1"/>
    <xf numFmtId="0" fontId="7" fillId="0" borderId="0" xfId="0" applyFont="1"/>
    <xf numFmtId="0" fontId="5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/>
    </xf>
    <xf numFmtId="10" fontId="0" fillId="0" borderId="0" xfId="2" applyNumberFormat="1" applyFont="1"/>
    <xf numFmtId="44" fontId="0" fillId="0" borderId="0" xfId="0" applyNumberFormat="1"/>
    <xf numFmtId="0" fontId="3" fillId="5" borderId="1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numFmt numFmtId="19" formatCode="dd/mm/yyyy"/>
    </dxf>
    <dxf>
      <numFmt numFmtId="19" formatCode="dd/mm/yyyy"/>
    </dxf>
    <dxf>
      <numFmt numFmtId="19" formatCode="dd/mm/yyyy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14" formatCode="0.00%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82FAF4-72ED-44CC-B8FF-F17C04983B6A}" name="Tabela14" displayName="Tabela14" ref="A1:J7" totalsRowShown="0" headerRowDxfId="20" headerRowBorderDxfId="19">
  <autoFilter ref="A1:J7" xr:uid="{062A0574-738A-4035-BF3E-6DF8D5EF01F7}"/>
  <tableColumns count="10">
    <tableColumn id="1" xr3:uid="{7073DAC7-2497-41D3-BBB5-C064E68C1592}" name="Zona portuária" dataDxfId="18"/>
    <tableColumn id="2" xr3:uid="{1E064E1C-784A-4922-8877-20B038ACF6FC}" name="UF" dataDxfId="17"/>
    <tableColumn id="3" xr3:uid="{668FEBE6-1093-4446-A68B-08A239BD11A4}" name="Obj. de Concessão" dataDxfId="16"/>
    <tableColumn id="4" xr3:uid="{0EAA4397-86FD-4152-BEA2-164B3122489A}" name="Tipo" dataDxfId="15"/>
    <tableColumn id="10" xr3:uid="{5E19D039-76FD-4973-8E6C-36F96167FE24}" name="CAPEX Total" dataDxfId="14"/>
    <tableColumn id="9" xr3:uid="{4768355D-5324-4B36-9B5F-42068B24D0AC}" name="Data de assinatura do contrato" dataDxfId="13"/>
    <tableColumn id="5" xr3:uid="{5F42F615-303C-44FD-A323-E49AA7F29E31}" name="Descrição" dataDxfId="12"/>
    <tableColumn id="6" xr3:uid="{7A5EE9AF-3C15-4F2F-84B2-B12012F054B3}" name="Coordenada E (UTM)" dataDxfId="11"/>
    <tableColumn id="7" xr3:uid="{EE597A5F-5FAC-479B-B933-0433055F2623}" name="Coordenada S (UTM)" dataDxfId="10"/>
    <tableColumn id="8" xr3:uid="{FC83F101-2EC2-4A21-BD67-346055AA3F77}" name="Fus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A0574-738A-4035-BF3E-6DF8D5EF01F7}" name="Tabela1" displayName="Tabela1" ref="A1:O9" totalsRowShown="0">
  <autoFilter ref="A1:O9" xr:uid="{062A0574-738A-4035-BF3E-6DF8D5EF01F7}"/>
  <tableColumns count="15">
    <tableColumn id="1" xr3:uid="{82E4E173-99A1-4E7E-AA86-3FC92327E616}" name="Zona portuária"/>
    <tableColumn id="2" xr3:uid="{EA0EC7D3-ADFB-4D05-9B97-EFDC7C96AC69}" name="UF"/>
    <tableColumn id="3" xr3:uid="{3B1E5DA6-70D0-4410-B172-BFFE3D32C395}" name="Obj. de Concessão"/>
    <tableColumn id="4" xr3:uid="{6AA1B15B-E3AD-4CE6-9830-FC3504284D05}" name="Tipo de Serviço"/>
    <tableColumn id="7" xr3:uid="{3628E6EF-D21F-4DDB-A013-EFC262D40BBA}" name="Fase"/>
    <tableColumn id="5" xr3:uid="{8676EC4E-47BC-4ECE-B670-8E528DEE03E9}" name="Serviço"/>
    <tableColumn id="14" xr3:uid="{927EF661-1102-4478-B250-C8B98B153716}" name="Descrição do serviço"/>
    <tableColumn id="15" xr3:uid="{AB8D4C95-4D83-4E7E-9DDB-D7CFDBC369CF}" name="Prazo início (anos)" dataDxfId="8"/>
    <tableColumn id="16" xr3:uid="{56B80DA6-6290-484C-B06D-639FE1337E9F}" name="Data de início" dataDxfId="1">
      <calculatedColumnFormula>('Tabela 00 - Cadastro'!$F$6)+((Tabela1[[#This Row],[Prazo início (anos)]]-1)*365)</calculatedColumnFormula>
    </tableColumn>
    <tableColumn id="9" xr3:uid="{37D46502-9D16-4487-B9F7-13FFF358446C}" name="Prazo final (anos)" dataDxfId="7"/>
    <tableColumn id="12" xr3:uid="{84814E9B-ED26-4A99-88F1-8B6B971B06BB}" name="Data final" dataDxfId="0">
      <calculatedColumnFormula>('Tabela 00 - Cadastro'!$F$6)+(Tabela1[[#This Row],[Prazo final (anos)]]*365)</calculatedColumnFormula>
    </tableColumn>
    <tableColumn id="13" xr3:uid="{B529C0E0-9172-418D-99A9-06F8410896C2}" name="Fonte (Prazo)"/>
    <tableColumn id="10" xr3:uid="{D9CFCD4E-8BD7-44C6-BB53-578FE5968480}" name="% de CAPEX para o serviço" dataDxfId="6" dataCellStyle="Porcentagem">
      <calculatedColumnFormula>1/8</calculatedColumnFormula>
    </tableColumn>
    <tableColumn id="6" xr3:uid="{DF48212B-5486-4BE9-BB71-4B78E4BC653A}" name="CAPEX do Serviço" dataDxfId="5">
      <calculatedColumnFormula>('Tabela 00 - Cadastro'!$E$6)*Tabela1[[#This Row],[% de CAPEX para o serviço]]</calculatedColumnFormula>
    </tableColumn>
    <tableColumn id="11" xr3:uid="{5A4DC123-B154-41C3-827D-44F5B74EDEB2}" name="Fonte (% do CAPEX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10FD71-054F-4B0D-8BDA-9FA65D4E92A0}" name="Tabela16" displayName="Tabela16" ref="A1:P4" totalsRowShown="0">
  <autoFilter ref="A1:P4" xr:uid="{062A0574-738A-4035-BF3E-6DF8D5EF01F7}"/>
  <tableColumns count="16">
    <tableColumn id="1" xr3:uid="{E328B698-E142-4BB1-A98E-98155B6E8F33}" name="Zona portuária"/>
    <tableColumn id="2" xr3:uid="{E6962C13-B61B-4C6B-AB94-D3FECBCAE8F4}" name="UF"/>
    <tableColumn id="3" xr3:uid="{1A70902A-3FA5-45A8-B2DE-D1D8FD98942D}" name="Obj. de Concessão"/>
    <tableColumn id="4" xr3:uid="{C180268D-F380-47F1-9DE9-84F6A8528BC7}" name="Tipo de Serviço"/>
    <tableColumn id="5" xr3:uid="{C587E7FA-A44C-4206-AB9F-DFB3F4947986}" name="Fase"/>
    <tableColumn id="8" xr3:uid="{DBD47047-690B-41C7-9AA5-DCED2B98BFBD}" name="Serviço"/>
    <tableColumn id="13" xr3:uid="{2BE9C7CA-439E-4B9E-AB7E-726832C1C7E0}" name="Descrição" dataDxfId="4"/>
    <tableColumn id="10" xr3:uid="{783E1102-3A29-485B-A7F1-B1F52860B989}" name="% executada"/>
    <tableColumn id="11" xr3:uid="{3E1DB457-0CDD-420E-BFBB-0319D8BD4D93}" name="CAPEX (Reaj.)"/>
    <tableColumn id="16" xr3:uid="{0C0F24F9-BF03-4628-8218-7555FAEC291B}" name="Valor executado" dataDxfId="3">
      <calculatedColumnFormula>Tabela16[[#This Row],[% executada]]*'Tabela 01 - Serviços'!$N$2</calculatedColumnFormula>
    </tableColumn>
    <tableColumn id="14" xr3:uid="{CFA7B62F-F4CB-405F-94A7-FF1DDB3F0CC3}" name="Data da atualização" dataDxfId="2"/>
    <tableColumn id="7" xr3:uid="{BEF009B7-5FFB-4E4E-9684-43C23B01372E}" name="Responsável"/>
    <tableColumn id="9" xr3:uid="{B4F87EAD-CC6D-436F-83AD-31BA570C1BE6}" name="Cargo"/>
    <tableColumn id="12" xr3:uid="{6A728C7E-F419-44E0-9E05-8CC155C19026}" name="Setor"/>
    <tableColumn id="6" xr3:uid="{30FB5405-FE7C-49BF-BE04-626C7D208BCB}" name="Riscos Relacionados (Tipo)"/>
    <tableColumn id="15" xr3:uid="{9C1C1D66-7649-4AB5-B5AA-4792B2EAB5ED}" name="Riscos Relacionados (Descriçã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ECEF-2A82-462D-8DCB-CAC12AFA9864}">
  <dimension ref="A1:J7"/>
  <sheetViews>
    <sheetView tabSelected="1" workbookViewId="0">
      <selection activeCell="F7" sqref="F7"/>
    </sheetView>
  </sheetViews>
  <sheetFormatPr defaultRowHeight="15" x14ac:dyDescent="0.25"/>
  <cols>
    <col min="1" max="1" width="32.5703125" style="5" bestFit="1" customWidth="1"/>
    <col min="2" max="2" width="8" style="25" bestFit="1" customWidth="1"/>
    <col min="3" max="3" width="19.7109375" style="5" bestFit="1" customWidth="1"/>
    <col min="4" max="4" width="14.140625" style="5" bestFit="1" customWidth="1"/>
    <col min="5" max="5" width="19.5703125" style="5" bestFit="1" customWidth="1"/>
    <col min="6" max="6" width="20.140625" style="5" customWidth="1"/>
    <col min="7" max="7" width="93.140625" style="25" bestFit="1" customWidth="1"/>
    <col min="8" max="9" width="22" style="5" bestFit="1" customWidth="1"/>
    <col min="10" max="10" width="9.140625" style="5"/>
  </cols>
  <sheetData>
    <row r="1" spans="1:10" s="26" customFormat="1" ht="30" x14ac:dyDescent="0.25">
      <c r="A1" s="27" t="s">
        <v>4</v>
      </c>
      <c r="B1" s="27" t="s">
        <v>2</v>
      </c>
      <c r="C1" s="27" t="s">
        <v>3</v>
      </c>
      <c r="D1" s="28" t="s">
        <v>26</v>
      </c>
      <c r="E1" s="30" t="s">
        <v>55</v>
      </c>
      <c r="F1" s="71" t="s">
        <v>51</v>
      </c>
      <c r="G1" s="28" t="s">
        <v>27</v>
      </c>
      <c r="H1" s="28" t="s">
        <v>31</v>
      </c>
      <c r="I1" s="28" t="s">
        <v>32</v>
      </c>
      <c r="J1" s="28" t="s">
        <v>33</v>
      </c>
    </row>
    <row r="2" spans="1:10" s="5" customFormat="1" ht="15" customHeight="1" x14ac:dyDescent="0.25">
      <c r="A2" s="5" t="s">
        <v>42</v>
      </c>
      <c r="B2" s="25" t="s">
        <v>12</v>
      </c>
      <c r="C2" s="5" t="s">
        <v>13</v>
      </c>
      <c r="D2" s="5" t="s">
        <v>28</v>
      </c>
      <c r="E2" s="72">
        <v>6454903000</v>
      </c>
      <c r="G2" s="25" t="s">
        <v>30</v>
      </c>
      <c r="H2" s="5" t="s">
        <v>34</v>
      </c>
      <c r="I2" s="5" t="s">
        <v>35</v>
      </c>
      <c r="J2" s="5">
        <v>23</v>
      </c>
    </row>
    <row r="3" spans="1:10" x14ac:dyDescent="0.25">
      <c r="A3" s="5" t="s">
        <v>47</v>
      </c>
      <c r="B3" s="25" t="s">
        <v>37</v>
      </c>
      <c r="C3" s="5" t="s">
        <v>36</v>
      </c>
      <c r="D3" s="5" t="s">
        <v>29</v>
      </c>
      <c r="E3" s="72">
        <v>63796000</v>
      </c>
      <c r="G3" s="25" t="s">
        <v>38</v>
      </c>
    </row>
    <row r="4" spans="1:10" x14ac:dyDescent="0.25">
      <c r="A4" s="5" t="s">
        <v>41</v>
      </c>
      <c r="B4" s="25" t="s">
        <v>40</v>
      </c>
      <c r="C4" s="5" t="s">
        <v>39</v>
      </c>
      <c r="D4" s="5" t="s">
        <v>28</v>
      </c>
      <c r="E4" s="72">
        <v>1978000</v>
      </c>
      <c r="G4" s="25" t="s">
        <v>43</v>
      </c>
    </row>
    <row r="5" spans="1:10" x14ac:dyDescent="0.25">
      <c r="A5" s="5" t="s">
        <v>44</v>
      </c>
      <c r="B5" s="25" t="s">
        <v>19</v>
      </c>
      <c r="C5" s="5" t="s">
        <v>45</v>
      </c>
      <c r="D5" s="5" t="s">
        <v>28</v>
      </c>
      <c r="E5" s="72">
        <v>101741000</v>
      </c>
      <c r="G5" s="25" t="s">
        <v>46</v>
      </c>
      <c r="H5" s="5" t="s">
        <v>154</v>
      </c>
      <c r="I5" s="5" t="s">
        <v>155</v>
      </c>
      <c r="J5" s="5">
        <v>23</v>
      </c>
    </row>
    <row r="6" spans="1:10" x14ac:dyDescent="0.25">
      <c r="A6" s="5" t="s">
        <v>47</v>
      </c>
      <c r="B6" s="25" t="s">
        <v>48</v>
      </c>
      <c r="C6" s="5" t="s">
        <v>49</v>
      </c>
      <c r="D6" s="5" t="s">
        <v>29</v>
      </c>
      <c r="E6" s="72">
        <v>1226475000</v>
      </c>
      <c r="F6" s="87">
        <v>46073</v>
      </c>
      <c r="G6" s="25" t="s">
        <v>50</v>
      </c>
      <c r="H6" s="5" t="s">
        <v>150</v>
      </c>
      <c r="I6" s="5" t="s">
        <v>151</v>
      </c>
      <c r="J6" s="5">
        <v>22</v>
      </c>
    </row>
    <row r="7" spans="1:10" x14ac:dyDescent="0.25">
      <c r="A7" s="5" t="s">
        <v>157</v>
      </c>
      <c r="B7" s="25" t="s">
        <v>12</v>
      </c>
      <c r="C7" s="5" t="s">
        <v>156</v>
      </c>
      <c r="D7" s="5" t="s">
        <v>28</v>
      </c>
      <c r="E7" s="72">
        <v>656085000</v>
      </c>
      <c r="G7" s="25" t="s">
        <v>158</v>
      </c>
      <c r="H7" s="5" t="s">
        <v>159</v>
      </c>
      <c r="I7" s="5" t="s">
        <v>160</v>
      </c>
      <c r="J7" s="5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opLeftCell="C1" workbookViewId="0">
      <selection activeCell="I9" sqref="I9"/>
    </sheetView>
  </sheetViews>
  <sheetFormatPr defaultRowHeight="15" x14ac:dyDescent="0.25"/>
  <cols>
    <col min="1" max="1" width="18.7109375" customWidth="1"/>
    <col min="2" max="2" width="7" customWidth="1"/>
    <col min="3" max="3" width="19.7109375" bestFit="1" customWidth="1"/>
    <col min="4" max="4" width="31.140625" bestFit="1" customWidth="1"/>
    <col min="5" max="5" width="7.28515625" bestFit="1" customWidth="1"/>
    <col min="6" max="6" width="33.5703125" bestFit="1" customWidth="1"/>
    <col min="7" max="7" width="66" bestFit="1" customWidth="1"/>
    <col min="8" max="8" width="17.7109375" style="5" customWidth="1"/>
    <col min="9" max="9" width="17.7109375" customWidth="1"/>
    <col min="10" max="10" width="17.7109375" style="5" customWidth="1"/>
    <col min="11" max="11" width="17.7109375" customWidth="1"/>
    <col min="12" max="12" width="26.42578125" bestFit="1" customWidth="1"/>
    <col min="13" max="13" width="26.7109375" bestFit="1" customWidth="1"/>
    <col min="14" max="14" width="22.28515625" bestFit="1" customWidth="1"/>
    <col min="15" max="15" width="24" customWidth="1"/>
  </cols>
  <sheetData>
    <row r="1" spans="1:15" x14ac:dyDescent="0.25">
      <c r="A1" s="2" t="s">
        <v>4</v>
      </c>
      <c r="B1" s="2" t="s">
        <v>2</v>
      </c>
      <c r="C1" s="2" t="s">
        <v>3</v>
      </c>
      <c r="D1" s="8" t="s">
        <v>5</v>
      </c>
      <c r="E1" s="8" t="s">
        <v>52</v>
      </c>
      <c r="F1" s="8" t="s">
        <v>6</v>
      </c>
      <c r="G1" s="8" t="s">
        <v>149</v>
      </c>
      <c r="H1" s="29" t="s">
        <v>65</v>
      </c>
      <c r="I1" s="29" t="s">
        <v>66</v>
      </c>
      <c r="J1" s="29" t="s">
        <v>68</v>
      </c>
      <c r="K1" s="29" t="s">
        <v>67</v>
      </c>
      <c r="L1" s="29" t="s">
        <v>56</v>
      </c>
      <c r="M1" t="s">
        <v>7</v>
      </c>
      <c r="N1" t="s">
        <v>8</v>
      </c>
      <c r="O1" t="s">
        <v>57</v>
      </c>
    </row>
    <row r="2" spans="1:15" x14ac:dyDescent="0.25">
      <c r="A2" s="5" t="s">
        <v>47</v>
      </c>
      <c r="B2" s="25" t="s">
        <v>48</v>
      </c>
      <c r="C2" s="5" t="s">
        <v>49</v>
      </c>
      <c r="D2" t="s">
        <v>59</v>
      </c>
      <c r="E2" t="s">
        <v>53</v>
      </c>
      <c r="F2" t="s">
        <v>61</v>
      </c>
      <c r="G2" t="s">
        <v>60</v>
      </c>
      <c r="H2" s="5">
        <v>3</v>
      </c>
      <c r="I2" s="3">
        <f>('Tabela 00 - Cadastro'!$F$6)+((Tabela1[[#This Row],[Prazo início (anos)]]-1)*365)</f>
        <v>46803</v>
      </c>
      <c r="J2" s="5">
        <v>3</v>
      </c>
      <c r="K2" s="3">
        <f>('Tabela 00 - Cadastro'!$F$6)+(Tabela1[[#This Row],[Prazo final (anos)]]*365)</f>
        <v>47168</v>
      </c>
      <c r="L2" t="s">
        <v>76</v>
      </c>
      <c r="M2" s="73">
        <v>0.1</v>
      </c>
      <c r="N2" s="74">
        <f>('Tabela 00 - Cadastro'!$E$6)*Tabela1[[#This Row],[% de CAPEX para o serviço]]</f>
        <v>122647500</v>
      </c>
      <c r="O2" t="s">
        <v>152</v>
      </c>
    </row>
    <row r="3" spans="1:15" x14ac:dyDescent="0.25">
      <c r="A3" s="5" t="s">
        <v>47</v>
      </c>
      <c r="B3" s="25" t="s">
        <v>48</v>
      </c>
      <c r="C3" s="5" t="s">
        <v>49</v>
      </c>
      <c r="D3" t="s">
        <v>59</v>
      </c>
      <c r="E3" t="s">
        <v>53</v>
      </c>
      <c r="F3" t="s">
        <v>62</v>
      </c>
      <c r="G3" t="s">
        <v>63</v>
      </c>
      <c r="H3" s="5">
        <v>3</v>
      </c>
      <c r="I3" s="3">
        <f>('Tabela 00 - Cadastro'!$F$6)+((Tabela1[[#This Row],[Prazo início (anos)]]-1)*365)</f>
        <v>46803</v>
      </c>
      <c r="J3" s="5">
        <v>5</v>
      </c>
      <c r="K3" s="3">
        <f>('Tabela 00 - Cadastro'!$F$6)+(Tabela1[[#This Row],[Prazo final (anos)]]*365)</f>
        <v>47898</v>
      </c>
      <c r="L3" t="s">
        <v>76</v>
      </c>
      <c r="M3" s="73">
        <v>0.1</v>
      </c>
      <c r="N3" s="74">
        <f>('Tabela 00 - Cadastro'!$E$6)*Tabela1[[#This Row],[% de CAPEX para o serviço]]</f>
        <v>122647500</v>
      </c>
      <c r="O3" t="s">
        <v>152</v>
      </c>
    </row>
    <row r="4" spans="1:15" x14ac:dyDescent="0.25">
      <c r="A4" s="5" t="s">
        <v>47</v>
      </c>
      <c r="B4" s="25" t="s">
        <v>48</v>
      </c>
      <c r="C4" s="5" t="s">
        <v>49</v>
      </c>
      <c r="D4" t="s">
        <v>54</v>
      </c>
      <c r="E4" t="s">
        <v>53</v>
      </c>
      <c r="F4" t="s">
        <v>58</v>
      </c>
      <c r="G4" t="s">
        <v>64</v>
      </c>
      <c r="H4" s="5">
        <v>3</v>
      </c>
      <c r="I4" s="3">
        <f>('Tabela 00 - Cadastro'!$F$6)+((Tabela1[[#This Row],[Prazo início (anos)]]-1)*365)</f>
        <v>46803</v>
      </c>
      <c r="J4" s="5">
        <v>3</v>
      </c>
      <c r="K4" s="3">
        <f>('Tabela 00 - Cadastro'!$F$6)+(Tabela1[[#This Row],[Prazo final (anos)]]*365)</f>
        <v>47168</v>
      </c>
      <c r="L4" t="s">
        <v>76</v>
      </c>
      <c r="M4" s="73">
        <v>0.1</v>
      </c>
      <c r="N4" s="74">
        <f>('Tabela 00 - Cadastro'!$E$6)*Tabela1[[#This Row],[% de CAPEX para o serviço]]</f>
        <v>122647500</v>
      </c>
      <c r="O4" t="s">
        <v>152</v>
      </c>
    </row>
    <row r="5" spans="1:15" x14ac:dyDescent="0.25">
      <c r="A5" s="5" t="s">
        <v>47</v>
      </c>
      <c r="B5" s="25" t="s">
        <v>48</v>
      </c>
      <c r="C5" s="5" t="s">
        <v>49</v>
      </c>
      <c r="D5" t="s">
        <v>54</v>
      </c>
      <c r="E5" t="s">
        <v>53</v>
      </c>
      <c r="F5" t="s">
        <v>71</v>
      </c>
      <c r="G5" t="s">
        <v>72</v>
      </c>
      <c r="H5" s="5">
        <v>3</v>
      </c>
      <c r="I5" s="3">
        <f>('Tabela 00 - Cadastro'!$F$6)+((Tabela1[[#This Row],[Prazo início (anos)]]-1)*365)</f>
        <v>46803</v>
      </c>
      <c r="J5" s="5">
        <v>5</v>
      </c>
      <c r="K5" s="3">
        <f>('Tabela 00 - Cadastro'!$F$6)+(Tabela1[[#This Row],[Prazo final (anos)]]*365)</f>
        <v>47898</v>
      </c>
      <c r="L5" t="s">
        <v>76</v>
      </c>
      <c r="M5" s="73">
        <v>0.25</v>
      </c>
      <c r="N5" s="74">
        <f>('Tabela 00 - Cadastro'!$E$6)*Tabela1[[#This Row],[% de CAPEX para o serviço]]</f>
        <v>306618750</v>
      </c>
      <c r="O5" t="s">
        <v>152</v>
      </c>
    </row>
    <row r="6" spans="1:15" x14ac:dyDescent="0.25">
      <c r="A6" s="5" t="s">
        <v>47</v>
      </c>
      <c r="B6" s="25" t="s">
        <v>48</v>
      </c>
      <c r="C6" s="5" t="s">
        <v>49</v>
      </c>
      <c r="D6" t="s">
        <v>59</v>
      </c>
      <c r="E6" t="s">
        <v>73</v>
      </c>
      <c r="F6" t="s">
        <v>61</v>
      </c>
      <c r="G6" t="s">
        <v>74</v>
      </c>
      <c r="H6" s="5">
        <v>3</v>
      </c>
      <c r="I6" s="3">
        <f>('Tabela 00 - Cadastro'!$F$6)+((Tabela1[[#This Row],[Prazo início (anos)]]-1)*365)</f>
        <v>46803</v>
      </c>
      <c r="J6" s="5">
        <v>5</v>
      </c>
      <c r="K6" s="3">
        <f>('Tabela 00 - Cadastro'!$F$6)+(Tabela1[[#This Row],[Prazo final (anos)]]*365)</f>
        <v>47898</v>
      </c>
      <c r="L6" t="s">
        <v>76</v>
      </c>
      <c r="M6" s="73">
        <v>0.1</v>
      </c>
      <c r="N6" s="74">
        <f>('Tabela 00 - Cadastro'!$E$6)*Tabela1[[#This Row],[% de CAPEX para o serviço]]</f>
        <v>122647500</v>
      </c>
      <c r="O6" t="s">
        <v>152</v>
      </c>
    </row>
    <row r="7" spans="1:15" x14ac:dyDescent="0.25">
      <c r="A7" s="5" t="s">
        <v>47</v>
      </c>
      <c r="B7" s="25" t="s">
        <v>48</v>
      </c>
      <c r="C7" s="5" t="s">
        <v>49</v>
      </c>
      <c r="D7" t="s">
        <v>59</v>
      </c>
      <c r="E7" t="s">
        <v>73</v>
      </c>
      <c r="F7" t="s">
        <v>62</v>
      </c>
      <c r="G7" t="s">
        <v>75</v>
      </c>
      <c r="H7" s="5">
        <v>3</v>
      </c>
      <c r="I7" s="3">
        <f>('Tabela 00 - Cadastro'!$F$6)+((Tabela1[[#This Row],[Prazo início (anos)]]-1)*365)</f>
        <v>46803</v>
      </c>
      <c r="J7" s="5">
        <v>5</v>
      </c>
      <c r="K7" s="3">
        <f>('Tabela 00 - Cadastro'!$F$6)+(Tabela1[[#This Row],[Prazo final (anos)]]*365)</f>
        <v>47898</v>
      </c>
      <c r="L7" t="s">
        <v>76</v>
      </c>
      <c r="M7" s="73">
        <v>0.1</v>
      </c>
      <c r="N7" s="74">
        <f>('Tabela 00 - Cadastro'!$E$6)*Tabela1[[#This Row],[% de CAPEX para o serviço]]</f>
        <v>122647500</v>
      </c>
      <c r="O7" t="s">
        <v>152</v>
      </c>
    </row>
    <row r="8" spans="1:15" x14ac:dyDescent="0.25">
      <c r="A8" s="5" t="s">
        <v>47</v>
      </c>
      <c r="B8" s="25" t="s">
        <v>48</v>
      </c>
      <c r="C8" s="5" t="s">
        <v>49</v>
      </c>
      <c r="D8" t="s">
        <v>59</v>
      </c>
      <c r="E8" t="s">
        <v>73</v>
      </c>
      <c r="F8" t="s">
        <v>71</v>
      </c>
      <c r="G8" t="s">
        <v>77</v>
      </c>
      <c r="H8" s="5">
        <v>3</v>
      </c>
      <c r="I8" s="3">
        <f>('Tabela 00 - Cadastro'!$F$6)+((Tabela1[[#This Row],[Prazo início (anos)]]-1)*365)</f>
        <v>46803</v>
      </c>
      <c r="J8" s="5">
        <v>5</v>
      </c>
      <c r="K8" s="3">
        <f>('Tabela 00 - Cadastro'!$F$6)+(Tabela1[[#This Row],[Prazo final (anos)]]*365)</f>
        <v>47898</v>
      </c>
      <c r="L8" t="s">
        <v>76</v>
      </c>
      <c r="M8" s="73">
        <v>0.24</v>
      </c>
      <c r="N8" s="74">
        <f>('Tabela 00 - Cadastro'!$E$6)*Tabela1[[#This Row],[% de CAPEX para o serviço]]</f>
        <v>294354000</v>
      </c>
      <c r="O8" t="s">
        <v>152</v>
      </c>
    </row>
    <row r="9" spans="1:15" x14ac:dyDescent="0.25">
      <c r="A9" s="5" t="s">
        <v>47</v>
      </c>
      <c r="B9" s="25" t="s">
        <v>48</v>
      </c>
      <c r="C9" s="5" t="s">
        <v>49</v>
      </c>
      <c r="D9" t="s">
        <v>54</v>
      </c>
      <c r="E9" t="s">
        <v>73</v>
      </c>
      <c r="F9" t="s">
        <v>78</v>
      </c>
      <c r="G9" t="s">
        <v>79</v>
      </c>
      <c r="H9" s="5">
        <v>5</v>
      </c>
      <c r="I9" s="3">
        <f>('Tabela 00 - Cadastro'!$F$6)+((Tabela1[[#This Row],[Prazo início (anos)]]-1)*365)</f>
        <v>47533</v>
      </c>
      <c r="K9" s="3"/>
      <c r="L9" t="s">
        <v>76</v>
      </c>
      <c r="M9" s="73">
        <v>0.01</v>
      </c>
      <c r="N9" s="74">
        <f>('Tabela 00 - Cadastro'!$E$6)*Tabela1[[#This Row],[% de CAPEX para o serviço]]</f>
        <v>12264750</v>
      </c>
      <c r="O9" t="s">
        <v>152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AA38-80E1-4FC0-8A34-C54F011242A8}">
  <dimension ref="A1:P4"/>
  <sheetViews>
    <sheetView workbookViewId="0">
      <selection activeCell="F20" sqref="F20"/>
    </sheetView>
  </sheetViews>
  <sheetFormatPr defaultRowHeight="15" x14ac:dyDescent="0.25"/>
  <cols>
    <col min="1" max="1" width="18.7109375" customWidth="1"/>
    <col min="2" max="2" width="7" customWidth="1"/>
    <col min="3" max="3" width="19.7109375" bestFit="1" customWidth="1"/>
    <col min="4" max="4" width="29.5703125" customWidth="1"/>
    <col min="5" max="5" width="7.28515625" bestFit="1" customWidth="1"/>
    <col min="6" max="6" width="32.28515625" bestFit="1" customWidth="1"/>
    <col min="7" max="7" width="40.28515625" customWidth="1"/>
    <col min="8" max="8" width="14.42578125" bestFit="1" customWidth="1"/>
    <col min="9" max="9" width="24" customWidth="1"/>
    <col min="10" max="10" width="17.85546875" bestFit="1" customWidth="1"/>
    <col min="11" max="11" width="21.42578125" bestFit="1" customWidth="1"/>
    <col min="12" max="12" width="14.42578125" bestFit="1" customWidth="1"/>
    <col min="13" max="13" width="24" bestFit="1" customWidth="1"/>
    <col min="15" max="15" width="27" bestFit="1" customWidth="1"/>
    <col min="16" max="16" width="59.42578125" bestFit="1" customWidth="1"/>
  </cols>
  <sheetData>
    <row r="1" spans="1:16" x14ac:dyDescent="0.25">
      <c r="A1" s="2" t="s">
        <v>4</v>
      </c>
      <c r="B1" s="2" t="s">
        <v>2</v>
      </c>
      <c r="C1" s="2" t="s">
        <v>3</v>
      </c>
      <c r="D1" s="8" t="s">
        <v>5</v>
      </c>
      <c r="E1" s="8" t="s">
        <v>52</v>
      </c>
      <c r="F1" s="8" t="s">
        <v>6</v>
      </c>
      <c r="G1" s="8" t="s">
        <v>27</v>
      </c>
      <c r="H1" s="7" t="s">
        <v>80</v>
      </c>
      <c r="I1" s="7" t="s">
        <v>9</v>
      </c>
      <c r="J1" s="7" t="s">
        <v>153</v>
      </c>
      <c r="K1" s="7" t="s">
        <v>10</v>
      </c>
      <c r="L1" t="s">
        <v>0</v>
      </c>
      <c r="M1" t="s">
        <v>1</v>
      </c>
      <c r="N1" t="s">
        <v>11</v>
      </c>
      <c r="O1" s="31" t="s">
        <v>81</v>
      </c>
      <c r="P1" s="31" t="s">
        <v>82</v>
      </c>
    </row>
    <row r="2" spans="1:16" x14ac:dyDescent="0.25">
      <c r="A2" s="5" t="s">
        <v>47</v>
      </c>
      <c r="B2" s="25" t="s">
        <v>48</v>
      </c>
      <c r="C2" s="5" t="s">
        <v>49</v>
      </c>
      <c r="D2" t="s">
        <v>59</v>
      </c>
      <c r="E2" t="s">
        <v>53</v>
      </c>
      <c r="F2" t="s">
        <v>61</v>
      </c>
      <c r="G2" t="s">
        <v>60</v>
      </c>
      <c r="H2" s="4">
        <v>0.1</v>
      </c>
      <c r="J2" s="74">
        <f>Tabela16[[#This Row],[% executada]]*'Tabela 01 - Serviços'!$N$2</f>
        <v>12264750</v>
      </c>
      <c r="K2" s="3">
        <v>47275</v>
      </c>
      <c r="L2" t="s">
        <v>14</v>
      </c>
      <c r="M2" t="s">
        <v>24</v>
      </c>
      <c r="N2" t="s">
        <v>15</v>
      </c>
      <c r="O2" t="s">
        <v>83</v>
      </c>
      <c r="P2" t="s">
        <v>84</v>
      </c>
    </row>
    <row r="3" spans="1:16" x14ac:dyDescent="0.25">
      <c r="A3" s="5" t="s">
        <v>47</v>
      </c>
      <c r="B3" s="25" t="s">
        <v>48</v>
      </c>
      <c r="C3" s="5" t="s">
        <v>49</v>
      </c>
      <c r="D3" t="s">
        <v>59</v>
      </c>
      <c r="E3" t="s">
        <v>53</v>
      </c>
      <c r="F3" t="s">
        <v>61</v>
      </c>
      <c r="G3" t="s">
        <v>60</v>
      </c>
      <c r="H3" s="4">
        <v>0.5</v>
      </c>
      <c r="J3" s="74">
        <f>Tabela16[[#This Row],[% executada]]*'Tabela 01 - Serviços'!$N$2</f>
        <v>61323750</v>
      </c>
      <c r="K3" s="3">
        <v>47644</v>
      </c>
      <c r="L3" t="s">
        <v>14</v>
      </c>
      <c r="M3" t="s">
        <v>24</v>
      </c>
      <c r="N3" t="s">
        <v>15</v>
      </c>
      <c r="O3" t="s">
        <v>85</v>
      </c>
      <c r="P3" t="s">
        <v>86</v>
      </c>
    </row>
    <row r="4" spans="1:16" x14ac:dyDescent="0.25">
      <c r="A4" s="5" t="s">
        <v>47</v>
      </c>
      <c r="B4" s="25" t="s">
        <v>48</v>
      </c>
      <c r="C4" s="5" t="s">
        <v>49</v>
      </c>
      <c r="D4" t="s">
        <v>59</v>
      </c>
      <c r="E4" t="s">
        <v>53</v>
      </c>
      <c r="F4" t="s">
        <v>61</v>
      </c>
      <c r="G4" t="s">
        <v>60</v>
      </c>
      <c r="H4" s="4">
        <v>1</v>
      </c>
      <c r="J4" s="74">
        <f>Tabela16[[#This Row],[% executada]]*'Tabela 01 - Serviços'!$N$2</f>
        <v>122647500</v>
      </c>
      <c r="K4" s="3">
        <v>48129</v>
      </c>
      <c r="L4" t="s">
        <v>14</v>
      </c>
      <c r="M4" t="s">
        <v>24</v>
      </c>
      <c r="N4" t="s">
        <v>15</v>
      </c>
      <c r="O4" t="s">
        <v>83</v>
      </c>
      <c r="P4" t="s">
        <v>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3059-15AF-40A5-9A98-4809816D6204}">
  <dimension ref="A1:M29"/>
  <sheetViews>
    <sheetView topLeftCell="A11" zoomScaleNormal="100" workbookViewId="0">
      <selection activeCell="B11" sqref="B11"/>
    </sheetView>
  </sheetViews>
  <sheetFormatPr defaultRowHeight="15" x14ac:dyDescent="0.25"/>
  <cols>
    <col min="1" max="1" width="15.42578125" customWidth="1"/>
    <col min="2" max="2" width="32.5703125" bestFit="1" customWidth="1"/>
    <col min="3" max="3" width="22.7109375" customWidth="1"/>
    <col min="4" max="4" width="33.5703125" bestFit="1" customWidth="1"/>
    <col min="5" max="6" width="22.7109375" customWidth="1"/>
    <col min="7" max="7" width="33.42578125" bestFit="1" customWidth="1"/>
    <col min="8" max="8" width="23.7109375" customWidth="1"/>
    <col min="9" max="9" width="33.42578125" bestFit="1" customWidth="1"/>
    <col min="10" max="10" width="26.42578125" bestFit="1" customWidth="1"/>
    <col min="11" max="13" width="20.7109375" customWidth="1"/>
  </cols>
  <sheetData>
    <row r="1" spans="1:13" s="1" customFormat="1" x14ac:dyDescent="0.25"/>
    <row r="2" spans="1:13" x14ac:dyDescent="0.25">
      <c r="B2" s="79" t="s">
        <v>88</v>
      </c>
      <c r="C2" s="80"/>
      <c r="D2" s="80"/>
      <c r="E2" s="80"/>
      <c r="F2" s="80"/>
      <c r="G2" s="80"/>
      <c r="H2" s="80"/>
      <c r="I2" s="80"/>
      <c r="J2" s="80"/>
      <c r="K2" s="80"/>
    </row>
    <row r="3" spans="1:13" x14ac:dyDescent="0.25">
      <c r="A3" s="38" t="s">
        <v>89</v>
      </c>
      <c r="B3" s="81" t="s">
        <v>90</v>
      </c>
      <c r="C3" s="82"/>
      <c r="D3" s="82"/>
      <c r="E3" s="82"/>
      <c r="F3" s="82"/>
      <c r="G3" s="82"/>
      <c r="H3" s="82"/>
      <c r="I3" s="82"/>
      <c r="J3" s="82"/>
      <c r="K3" s="82"/>
    </row>
    <row r="4" spans="1:13" s="26" customFormat="1" x14ac:dyDescent="0.25">
      <c r="A4" s="38" t="s">
        <v>21</v>
      </c>
      <c r="B4" s="32" t="s">
        <v>4</v>
      </c>
      <c r="C4" s="33" t="s">
        <v>2</v>
      </c>
      <c r="D4" s="32" t="s">
        <v>3</v>
      </c>
      <c r="E4" s="34" t="s">
        <v>26</v>
      </c>
      <c r="F4" s="35" t="s">
        <v>55</v>
      </c>
      <c r="G4" s="36" t="s">
        <v>51</v>
      </c>
      <c r="H4" s="37" t="s">
        <v>27</v>
      </c>
      <c r="I4" s="37" t="s">
        <v>31</v>
      </c>
      <c r="J4" s="37" t="s">
        <v>32</v>
      </c>
      <c r="K4" s="37" t="s">
        <v>33</v>
      </c>
    </row>
    <row r="5" spans="1:13" s="10" customFormat="1" ht="60" x14ac:dyDescent="0.25">
      <c r="A5" s="14" t="s">
        <v>22</v>
      </c>
      <c r="B5" s="6" t="s">
        <v>18</v>
      </c>
      <c r="C5" s="6" t="s">
        <v>91</v>
      </c>
      <c r="D5" s="6" t="s">
        <v>20</v>
      </c>
      <c r="E5" s="11" t="s">
        <v>93</v>
      </c>
      <c r="F5" s="6" t="s">
        <v>94</v>
      </c>
      <c r="G5" s="6" t="s">
        <v>96</v>
      </c>
      <c r="H5" s="6" t="s">
        <v>97</v>
      </c>
      <c r="I5" s="6" t="s">
        <v>98</v>
      </c>
      <c r="J5" s="6" t="s">
        <v>98</v>
      </c>
      <c r="K5" s="6" t="s">
        <v>98</v>
      </c>
    </row>
    <row r="6" spans="1:13" x14ac:dyDescent="0.25">
      <c r="A6" s="76" t="s">
        <v>23</v>
      </c>
      <c r="B6" s="39" t="s">
        <v>42</v>
      </c>
      <c r="C6" s="40" t="s">
        <v>12</v>
      </c>
      <c r="D6" s="9" t="s">
        <v>13</v>
      </c>
      <c r="E6" s="41" t="s">
        <v>29</v>
      </c>
      <c r="F6" t="s">
        <v>95</v>
      </c>
      <c r="K6" s="15"/>
    </row>
    <row r="7" spans="1:13" x14ac:dyDescent="0.25">
      <c r="A7" s="77"/>
      <c r="B7" s="39" t="s">
        <v>47</v>
      </c>
      <c r="C7" s="40" t="s">
        <v>37</v>
      </c>
      <c r="D7" s="9" t="s">
        <v>36</v>
      </c>
      <c r="E7" s="41" t="s">
        <v>28</v>
      </c>
      <c r="F7" s="23">
        <v>1000000000</v>
      </c>
      <c r="K7" s="15"/>
    </row>
    <row r="8" spans="1:13" x14ac:dyDescent="0.25">
      <c r="A8" s="77"/>
      <c r="B8" s="39" t="s">
        <v>41</v>
      </c>
      <c r="C8" s="40" t="s">
        <v>40</v>
      </c>
      <c r="D8" s="9" t="s">
        <v>39</v>
      </c>
      <c r="E8" s="41" t="s">
        <v>92</v>
      </c>
      <c r="K8" s="15"/>
    </row>
    <row r="9" spans="1:13" x14ac:dyDescent="0.25">
      <c r="A9" s="77"/>
      <c r="B9" s="39" t="s">
        <v>44</v>
      </c>
      <c r="C9" s="40" t="s">
        <v>19</v>
      </c>
      <c r="D9" s="9" t="s">
        <v>45</v>
      </c>
      <c r="K9" s="15"/>
    </row>
    <row r="10" spans="1:13" x14ac:dyDescent="0.25">
      <c r="A10" s="77"/>
      <c r="B10" s="42" t="s">
        <v>47</v>
      </c>
      <c r="C10" s="43" t="s">
        <v>48</v>
      </c>
      <c r="D10" s="44" t="s">
        <v>49</v>
      </c>
      <c r="K10" s="15"/>
    </row>
    <row r="11" spans="1:13" s="10" customFormat="1" ht="90" x14ac:dyDescent="0.25">
      <c r="A11" s="14" t="s">
        <v>25</v>
      </c>
      <c r="B11" s="6" t="s">
        <v>101</v>
      </c>
      <c r="C11" s="6" t="s">
        <v>100</v>
      </c>
      <c r="D11" s="12" t="s">
        <v>99</v>
      </c>
      <c r="E11" s="12" t="s">
        <v>102</v>
      </c>
      <c r="F11" s="12" t="s">
        <v>103</v>
      </c>
      <c r="G11" s="12" t="s">
        <v>104</v>
      </c>
      <c r="H11" s="12" t="s">
        <v>105</v>
      </c>
      <c r="I11" s="12" t="s">
        <v>106</v>
      </c>
      <c r="J11" s="12" t="s">
        <v>106</v>
      </c>
      <c r="K11" s="12" t="s">
        <v>106</v>
      </c>
    </row>
    <row r="13" spans="1:13" x14ac:dyDescent="0.25">
      <c r="B13" s="78" t="s">
        <v>108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1:13" x14ac:dyDescent="0.25">
      <c r="A14" s="13" t="s">
        <v>107</v>
      </c>
      <c r="B14" s="81" t="s">
        <v>109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4"/>
    </row>
    <row r="15" spans="1:13" x14ac:dyDescent="0.25">
      <c r="A15" s="13" t="s">
        <v>21</v>
      </c>
      <c r="B15" s="19" t="s">
        <v>5</v>
      </c>
      <c r="C15" s="19" t="s">
        <v>52</v>
      </c>
      <c r="D15" s="19" t="s">
        <v>6</v>
      </c>
      <c r="E15" s="19" t="s">
        <v>27</v>
      </c>
      <c r="F15" s="46" t="s">
        <v>65</v>
      </c>
      <c r="G15" s="46" t="s">
        <v>66</v>
      </c>
      <c r="H15" s="46" t="s">
        <v>68</v>
      </c>
      <c r="I15" s="46" t="s">
        <v>67</v>
      </c>
      <c r="J15" s="46" t="s">
        <v>56</v>
      </c>
      <c r="K15" s="20" t="s">
        <v>7</v>
      </c>
      <c r="L15" s="20" t="s">
        <v>8</v>
      </c>
      <c r="M15" s="20" t="s">
        <v>57</v>
      </c>
    </row>
    <row r="16" spans="1:13" ht="60" x14ac:dyDescent="0.25">
      <c r="A16" s="14" t="s">
        <v>22</v>
      </c>
      <c r="B16" s="45" t="s">
        <v>110</v>
      </c>
      <c r="C16" s="45" t="s">
        <v>111</v>
      </c>
      <c r="D16" s="45" t="s">
        <v>112</v>
      </c>
      <c r="E16" s="45" t="s">
        <v>113</v>
      </c>
      <c r="F16" s="45" t="s">
        <v>114</v>
      </c>
      <c r="G16" s="22" t="s">
        <v>116</v>
      </c>
      <c r="H16" s="45" t="s">
        <v>114</v>
      </c>
      <c r="I16" s="22" t="s">
        <v>116</v>
      </c>
      <c r="J16" s="22" t="s">
        <v>119</v>
      </c>
      <c r="K16" s="45" t="s">
        <v>120</v>
      </c>
      <c r="L16" s="45" t="s">
        <v>121</v>
      </c>
      <c r="M16" s="45" t="s">
        <v>122</v>
      </c>
    </row>
    <row r="17" spans="1:13" ht="15" customHeight="1" x14ac:dyDescent="0.25">
      <c r="A17" s="75" t="s">
        <v>23</v>
      </c>
      <c r="B17" s="9" t="s">
        <v>59</v>
      </c>
      <c r="C17" s="47" t="s">
        <v>53</v>
      </c>
      <c r="D17" s="9" t="s">
        <v>62</v>
      </c>
      <c r="E17" s="24"/>
      <c r="F17" s="9" t="s">
        <v>69</v>
      </c>
      <c r="G17" s="24" t="s">
        <v>117</v>
      </c>
      <c r="H17" s="9" t="s">
        <v>69</v>
      </c>
      <c r="I17" s="24" t="s">
        <v>117</v>
      </c>
      <c r="J17" s="9" t="s">
        <v>76</v>
      </c>
      <c r="K17" s="24"/>
      <c r="L17" s="24"/>
      <c r="M17" s="48"/>
    </row>
    <row r="18" spans="1:13" x14ac:dyDescent="0.25">
      <c r="A18" s="75"/>
      <c r="B18" s="9" t="s">
        <v>54</v>
      </c>
      <c r="C18" s="47" t="s">
        <v>73</v>
      </c>
      <c r="D18" s="9" t="s">
        <v>58</v>
      </c>
      <c r="F18" s="9" t="s">
        <v>70</v>
      </c>
      <c r="G18" s="9" t="s">
        <v>118</v>
      </c>
      <c r="H18" s="9" t="s">
        <v>70</v>
      </c>
      <c r="I18" s="9" t="s">
        <v>118</v>
      </c>
      <c r="M18" s="15"/>
    </row>
    <row r="19" spans="1:13" x14ac:dyDescent="0.25">
      <c r="A19" s="75"/>
      <c r="B19" s="16"/>
      <c r="C19" s="17"/>
      <c r="D19" s="9" t="s">
        <v>71</v>
      </c>
      <c r="E19" s="17"/>
      <c r="F19" s="9" t="s">
        <v>115</v>
      </c>
      <c r="G19" s="17"/>
      <c r="H19" s="9" t="s">
        <v>115</v>
      </c>
      <c r="I19" s="17"/>
      <c r="J19" s="17"/>
      <c r="K19" s="17"/>
      <c r="L19" s="17"/>
      <c r="M19" s="18"/>
    </row>
    <row r="20" spans="1:13" s="10" customFormat="1" ht="45" x14ac:dyDescent="0.25">
      <c r="A20" s="14" t="s">
        <v>25</v>
      </c>
      <c r="B20" s="6" t="s">
        <v>123</v>
      </c>
      <c r="C20" s="6" t="s">
        <v>124</v>
      </c>
      <c r="D20" s="6" t="s">
        <v>123</v>
      </c>
      <c r="E20" s="6" t="s">
        <v>125</v>
      </c>
      <c r="F20" s="6" t="s">
        <v>124</v>
      </c>
      <c r="G20" s="49" t="s">
        <v>126</v>
      </c>
      <c r="H20" s="6" t="s">
        <v>124</v>
      </c>
      <c r="I20" s="49" t="s">
        <v>126</v>
      </c>
      <c r="J20" s="6" t="s">
        <v>123</v>
      </c>
      <c r="K20" s="12" t="s">
        <v>127</v>
      </c>
      <c r="L20" s="49" t="s">
        <v>126</v>
      </c>
      <c r="M20" s="6" t="s">
        <v>123</v>
      </c>
    </row>
    <row r="22" spans="1:13" x14ac:dyDescent="0.25">
      <c r="B22" s="78" t="s">
        <v>128</v>
      </c>
      <c r="C22" s="78"/>
      <c r="D22" s="78"/>
      <c r="E22" s="78"/>
      <c r="F22" s="78"/>
      <c r="G22" s="78"/>
      <c r="H22" s="78"/>
      <c r="I22" s="78"/>
    </row>
    <row r="23" spans="1:13" x14ac:dyDescent="0.25">
      <c r="A23" s="13" t="s">
        <v>107</v>
      </c>
      <c r="B23" s="85"/>
      <c r="C23" s="82"/>
      <c r="D23" s="82"/>
      <c r="E23" s="82"/>
      <c r="F23" s="82"/>
      <c r="G23" s="82"/>
      <c r="H23" s="82"/>
      <c r="I23" s="86"/>
    </row>
    <row r="24" spans="1:13" x14ac:dyDescent="0.25">
      <c r="A24" s="13" t="s">
        <v>21</v>
      </c>
      <c r="B24" s="21" t="s">
        <v>80</v>
      </c>
      <c r="C24" s="21" t="s">
        <v>9</v>
      </c>
      <c r="D24" s="21" t="s">
        <v>10</v>
      </c>
      <c r="E24" s="20" t="s">
        <v>0</v>
      </c>
      <c r="F24" s="20" t="s">
        <v>1</v>
      </c>
      <c r="G24" s="20" t="s">
        <v>11</v>
      </c>
      <c r="H24" s="50" t="s">
        <v>81</v>
      </c>
      <c r="I24" s="50" t="s">
        <v>82</v>
      </c>
    </row>
    <row r="25" spans="1:13" s="10" customFormat="1" ht="45" x14ac:dyDescent="0.25">
      <c r="A25" s="14" t="s">
        <v>22</v>
      </c>
      <c r="B25" s="22" t="s">
        <v>129</v>
      </c>
      <c r="C25" s="22" t="s">
        <v>130</v>
      </c>
      <c r="D25" s="22" t="s">
        <v>10</v>
      </c>
      <c r="E25" s="22" t="s">
        <v>131</v>
      </c>
      <c r="F25" s="22" t="s">
        <v>132</v>
      </c>
      <c r="G25" s="22" t="s">
        <v>133</v>
      </c>
      <c r="H25" s="22" t="s">
        <v>142</v>
      </c>
      <c r="I25" s="22" t="s">
        <v>141</v>
      </c>
    </row>
    <row r="26" spans="1:13" x14ac:dyDescent="0.25">
      <c r="A26" s="75" t="s">
        <v>23</v>
      </c>
      <c r="B26" s="51">
        <v>1</v>
      </c>
      <c r="C26" s="23">
        <v>1110000000</v>
      </c>
      <c r="D26" s="24"/>
      <c r="E26" s="9" t="s">
        <v>14</v>
      </c>
      <c r="F26" s="9" t="s">
        <v>24</v>
      </c>
      <c r="G26" s="9" t="s">
        <v>15</v>
      </c>
      <c r="H26" s="9" t="s">
        <v>143</v>
      </c>
      <c r="I26" s="48"/>
    </row>
    <row r="27" spans="1:13" x14ac:dyDescent="0.25">
      <c r="A27" s="75"/>
      <c r="B27" s="51">
        <v>0.55000000000000004</v>
      </c>
      <c r="C27" s="23">
        <v>1120000000</v>
      </c>
      <c r="E27" s="9" t="s">
        <v>134</v>
      </c>
      <c r="F27" s="9" t="s">
        <v>135</v>
      </c>
      <c r="G27" s="9" t="s">
        <v>15</v>
      </c>
      <c r="H27" s="9" t="s">
        <v>85</v>
      </c>
      <c r="I27" s="15"/>
    </row>
    <row r="28" spans="1:13" x14ac:dyDescent="0.25">
      <c r="A28" s="75"/>
      <c r="B28" s="16"/>
      <c r="C28" s="17"/>
      <c r="D28" s="17"/>
      <c r="E28" s="9" t="s">
        <v>16</v>
      </c>
      <c r="F28" s="9" t="s">
        <v>136</v>
      </c>
      <c r="G28" s="9" t="s">
        <v>17</v>
      </c>
      <c r="H28" s="17"/>
      <c r="I28" s="18"/>
    </row>
    <row r="29" spans="1:13" ht="45" x14ac:dyDescent="0.25">
      <c r="A29" s="14" t="s">
        <v>25</v>
      </c>
      <c r="B29" s="6" t="s">
        <v>137</v>
      </c>
      <c r="C29" s="6" t="s">
        <v>138</v>
      </c>
      <c r="D29" s="6" t="s">
        <v>139</v>
      </c>
      <c r="E29" s="6"/>
      <c r="F29" s="6"/>
      <c r="G29" s="6" t="s">
        <v>140</v>
      </c>
      <c r="H29" s="6" t="s">
        <v>140</v>
      </c>
      <c r="I29" s="6" t="s">
        <v>144</v>
      </c>
    </row>
  </sheetData>
  <mergeCells count="9">
    <mergeCell ref="A26:A28"/>
    <mergeCell ref="A6:A10"/>
    <mergeCell ref="B13:M13"/>
    <mergeCell ref="B2:K2"/>
    <mergeCell ref="B3:K3"/>
    <mergeCell ref="B14:M14"/>
    <mergeCell ref="B23:I23"/>
    <mergeCell ref="A17:A19"/>
    <mergeCell ref="B22:I2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B526-A6D3-4DAF-A8E9-4F15BE641A41}">
  <dimension ref="A3:L40"/>
  <sheetViews>
    <sheetView workbookViewId="0">
      <selection activeCell="P15" sqref="P15"/>
    </sheetView>
  </sheetViews>
  <sheetFormatPr defaultRowHeight="15" x14ac:dyDescent="0.25"/>
  <cols>
    <col min="2" max="2" width="14" bestFit="1" customWidth="1"/>
    <col min="4" max="4" width="17.42578125" bestFit="1" customWidth="1"/>
    <col min="9" max="9" width="14.7109375" customWidth="1"/>
    <col min="10" max="10" width="14.140625" customWidth="1"/>
    <col min="11" max="11" width="18" customWidth="1"/>
  </cols>
  <sheetData>
    <row r="3" spans="1:12" ht="18.75" x14ac:dyDescent="0.3">
      <c r="B3" s="70" t="s">
        <v>148</v>
      </c>
    </row>
    <row r="4" spans="1:12" ht="15.75" thickBot="1" x14ac:dyDescent="0.3"/>
    <row r="5" spans="1:12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12" ht="15.75" thickBot="1" x14ac:dyDescent="0.3">
      <c r="A6" s="64"/>
      <c r="B6" s="52" t="s">
        <v>4</v>
      </c>
      <c r="C6" s="53" t="s">
        <v>2</v>
      </c>
      <c r="D6" s="54" t="s">
        <v>3</v>
      </c>
      <c r="E6" s="69"/>
      <c r="F6" s="69"/>
      <c r="G6" s="69" t="s">
        <v>145</v>
      </c>
      <c r="H6" s="69"/>
      <c r="I6" s="69"/>
      <c r="J6" s="69"/>
      <c r="K6" s="69"/>
      <c r="L6" s="68"/>
    </row>
    <row r="7" spans="1:12" x14ac:dyDescent="0.25">
      <c r="A7" s="64"/>
      <c r="B7" s="69"/>
      <c r="C7" s="69"/>
      <c r="D7" s="69"/>
      <c r="E7" s="69"/>
      <c r="F7" s="69"/>
      <c r="G7" s="69"/>
      <c r="H7" s="69"/>
      <c r="I7" s="69"/>
      <c r="J7" s="69"/>
      <c r="K7" s="69"/>
      <c r="L7" s="68"/>
    </row>
    <row r="8" spans="1:12" ht="15.75" thickBot="1" x14ac:dyDescent="0.3">
      <c r="A8" s="64"/>
      <c r="B8" s="69"/>
      <c r="C8" s="69"/>
      <c r="D8" s="69"/>
      <c r="E8" s="69"/>
      <c r="F8" s="69"/>
      <c r="G8" s="69"/>
      <c r="H8" s="69"/>
      <c r="I8" s="69"/>
      <c r="J8" s="69"/>
      <c r="K8" s="69"/>
      <c r="L8" s="68"/>
    </row>
    <row r="9" spans="1:12" ht="15.75" thickBot="1" x14ac:dyDescent="0.3">
      <c r="A9" s="64"/>
      <c r="B9" s="55" t="s">
        <v>5</v>
      </c>
      <c r="C9" s="56" t="s">
        <v>52</v>
      </c>
      <c r="D9" s="56" t="s">
        <v>6</v>
      </c>
      <c r="E9" s="57" t="s">
        <v>27</v>
      </c>
      <c r="F9" s="69"/>
      <c r="G9" s="69" t="s">
        <v>146</v>
      </c>
      <c r="H9" s="69"/>
      <c r="I9" s="69"/>
      <c r="J9" s="69"/>
      <c r="K9" s="69"/>
      <c r="L9" s="68"/>
    </row>
    <row r="10" spans="1:12" x14ac:dyDescent="0.25">
      <c r="A10" s="64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8"/>
    </row>
    <row r="11" spans="1:12" ht="15.75" thickBot="1" x14ac:dyDescent="0.3">
      <c r="A11" s="64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8"/>
    </row>
    <row r="12" spans="1:12" ht="15.75" thickBot="1" x14ac:dyDescent="0.3">
      <c r="A12" s="64"/>
      <c r="B12" s="58" t="s">
        <v>80</v>
      </c>
      <c r="C12" s="59" t="s">
        <v>9</v>
      </c>
      <c r="D12" s="60" t="s">
        <v>10</v>
      </c>
      <c r="E12" s="69"/>
      <c r="F12" s="69"/>
      <c r="G12" s="69" t="s">
        <v>147</v>
      </c>
      <c r="H12" s="69"/>
      <c r="I12" s="69"/>
      <c r="J12" s="69"/>
      <c r="K12" s="69"/>
      <c r="L12" s="68"/>
    </row>
    <row r="13" spans="1:12" x14ac:dyDescent="0.25">
      <c r="A13" s="64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8"/>
    </row>
    <row r="14" spans="1:12" ht="15.75" thickBot="1" x14ac:dyDescent="0.3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ht="15.75" thickBot="1" x14ac:dyDescent="0.3"/>
    <row r="16" spans="1:12" ht="15.75" thickBot="1" x14ac:dyDescent="0.3">
      <c r="A16" s="61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3"/>
    </row>
    <row r="17" spans="1:12" ht="15.75" thickBot="1" x14ac:dyDescent="0.3">
      <c r="A17" s="64"/>
      <c r="B17" s="52" t="s">
        <v>4</v>
      </c>
      <c r="C17" s="53" t="s">
        <v>2</v>
      </c>
      <c r="D17" s="54" t="s">
        <v>3</v>
      </c>
      <c r="E17" s="55" t="s">
        <v>5</v>
      </c>
      <c r="F17" s="56" t="s">
        <v>52</v>
      </c>
      <c r="G17" s="56" t="s">
        <v>6</v>
      </c>
      <c r="H17" s="57" t="s">
        <v>27</v>
      </c>
      <c r="I17" s="58" t="s">
        <v>80</v>
      </c>
      <c r="J17" s="59" t="s">
        <v>9</v>
      </c>
      <c r="K17" s="60" t="s">
        <v>10</v>
      </c>
      <c r="L17" s="68"/>
    </row>
    <row r="18" spans="1:12" ht="15.75" thickBot="1" x14ac:dyDescent="0.3">
      <c r="A18" s="64"/>
      <c r="B18" s="69"/>
      <c r="C18" s="69"/>
      <c r="D18" s="69"/>
      <c r="E18" s="69"/>
      <c r="F18" s="69"/>
      <c r="G18" s="69"/>
      <c r="H18" s="69"/>
      <c r="I18" s="58" t="s">
        <v>80</v>
      </c>
      <c r="J18" s="59" t="s">
        <v>9</v>
      </c>
      <c r="K18" s="60" t="s">
        <v>10</v>
      </c>
      <c r="L18" s="68"/>
    </row>
    <row r="19" spans="1:12" ht="15.75" thickBot="1" x14ac:dyDescent="0.3">
      <c r="A19" s="64"/>
      <c r="B19" s="69"/>
      <c r="C19" s="69"/>
      <c r="D19" s="69"/>
      <c r="E19" s="69"/>
      <c r="F19" s="69"/>
      <c r="G19" s="69"/>
      <c r="H19" s="69"/>
      <c r="I19" s="58" t="s">
        <v>80</v>
      </c>
      <c r="J19" s="59" t="s">
        <v>9</v>
      </c>
      <c r="K19" s="60" t="s">
        <v>10</v>
      </c>
      <c r="L19" s="68"/>
    </row>
    <row r="20" spans="1:12" ht="15.75" thickBot="1" x14ac:dyDescent="0.3">
      <c r="A20" s="64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8"/>
    </row>
    <row r="21" spans="1:12" ht="15.75" thickBot="1" x14ac:dyDescent="0.3">
      <c r="A21" s="64"/>
      <c r="B21" s="69"/>
      <c r="C21" s="69"/>
      <c r="D21" s="69"/>
      <c r="E21" s="55" t="s">
        <v>5</v>
      </c>
      <c r="F21" s="56" t="s">
        <v>52</v>
      </c>
      <c r="G21" s="56" t="s">
        <v>6</v>
      </c>
      <c r="H21" s="57" t="s">
        <v>27</v>
      </c>
      <c r="I21" s="58" t="s">
        <v>80</v>
      </c>
      <c r="J21" s="59" t="s">
        <v>9</v>
      </c>
      <c r="K21" s="60" t="s">
        <v>10</v>
      </c>
      <c r="L21" s="68"/>
    </row>
    <row r="22" spans="1:12" ht="15.75" thickBot="1" x14ac:dyDescent="0.3">
      <c r="A22" s="64"/>
      <c r="B22" s="69"/>
      <c r="C22" s="69"/>
      <c r="D22" s="69"/>
      <c r="E22" s="69"/>
      <c r="F22" s="69"/>
      <c r="G22" s="69"/>
      <c r="H22" s="69"/>
      <c r="I22" s="58" t="s">
        <v>80</v>
      </c>
      <c r="J22" s="59" t="s">
        <v>9</v>
      </c>
      <c r="K22" s="60" t="s">
        <v>10</v>
      </c>
      <c r="L22" s="68"/>
    </row>
    <row r="23" spans="1:12" ht="15.75" thickBot="1" x14ac:dyDescent="0.3">
      <c r="A23" s="64"/>
      <c r="B23" s="69"/>
      <c r="C23" s="69"/>
      <c r="D23" s="69"/>
      <c r="E23" s="69"/>
      <c r="F23" s="69"/>
      <c r="G23" s="69"/>
      <c r="H23" s="69"/>
      <c r="I23" s="58" t="s">
        <v>80</v>
      </c>
      <c r="J23" s="59" t="s">
        <v>9</v>
      </c>
      <c r="K23" s="60" t="s">
        <v>10</v>
      </c>
      <c r="L23" s="68"/>
    </row>
    <row r="24" spans="1:12" ht="15.75" thickBot="1" x14ac:dyDescent="0.3">
      <c r="A24" s="64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8"/>
    </row>
    <row r="25" spans="1:12" ht="15.75" thickBot="1" x14ac:dyDescent="0.3">
      <c r="A25" s="64"/>
      <c r="B25" s="69"/>
      <c r="C25" s="69"/>
      <c r="D25" s="69"/>
      <c r="E25" s="55" t="s">
        <v>5</v>
      </c>
      <c r="F25" s="56" t="s">
        <v>52</v>
      </c>
      <c r="G25" s="56" t="s">
        <v>6</v>
      </c>
      <c r="H25" s="57" t="s">
        <v>27</v>
      </c>
      <c r="I25" s="58" t="s">
        <v>80</v>
      </c>
      <c r="J25" s="59" t="s">
        <v>9</v>
      </c>
      <c r="K25" s="60" t="s">
        <v>10</v>
      </c>
      <c r="L25" s="68"/>
    </row>
    <row r="26" spans="1:12" ht="15.75" thickBot="1" x14ac:dyDescent="0.3">
      <c r="A26" s="64"/>
      <c r="B26" s="69"/>
      <c r="C26" s="69"/>
      <c r="D26" s="69"/>
      <c r="E26" s="69"/>
      <c r="F26" s="69"/>
      <c r="G26" s="69"/>
      <c r="H26" s="69"/>
      <c r="I26" s="58" t="s">
        <v>80</v>
      </c>
      <c r="J26" s="59" t="s">
        <v>9</v>
      </c>
      <c r="K26" s="60" t="s">
        <v>10</v>
      </c>
      <c r="L26" s="68"/>
    </row>
    <row r="27" spans="1:12" ht="15.75" thickBot="1" x14ac:dyDescent="0.3">
      <c r="A27" s="64"/>
      <c r="B27" s="69"/>
      <c r="C27" s="69"/>
      <c r="D27" s="69"/>
      <c r="E27" s="69"/>
      <c r="F27" s="69"/>
      <c r="G27" s="69"/>
      <c r="H27" s="69"/>
      <c r="I27" s="58" t="s">
        <v>80</v>
      </c>
      <c r="J27" s="59" t="s">
        <v>9</v>
      </c>
      <c r="K27" s="60" t="s">
        <v>10</v>
      </c>
      <c r="L27" s="68"/>
    </row>
    <row r="28" spans="1:12" ht="15.75" thickBot="1" x14ac:dyDescent="0.3">
      <c r="A28" s="6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8"/>
    </row>
    <row r="29" spans="1:12" ht="15.75" thickBot="1" x14ac:dyDescent="0.3">
      <c r="A29" s="64"/>
      <c r="B29" s="52" t="s">
        <v>4</v>
      </c>
      <c r="C29" s="53" t="s">
        <v>2</v>
      </c>
      <c r="D29" s="54" t="s">
        <v>3</v>
      </c>
      <c r="E29" s="55" t="s">
        <v>5</v>
      </c>
      <c r="F29" s="56" t="s">
        <v>52</v>
      </c>
      <c r="G29" s="56" t="s">
        <v>6</v>
      </c>
      <c r="H29" s="57" t="s">
        <v>27</v>
      </c>
      <c r="I29" s="58" t="s">
        <v>80</v>
      </c>
      <c r="J29" s="59" t="s">
        <v>9</v>
      </c>
      <c r="K29" s="60" t="s">
        <v>10</v>
      </c>
      <c r="L29" s="68"/>
    </row>
    <row r="30" spans="1:12" ht="15.75" thickBot="1" x14ac:dyDescent="0.3">
      <c r="A30" s="64"/>
      <c r="B30" s="69"/>
      <c r="C30" s="69"/>
      <c r="D30" s="69"/>
      <c r="E30" s="69"/>
      <c r="F30" s="69"/>
      <c r="G30" s="69"/>
      <c r="H30" s="69"/>
      <c r="I30" s="58" t="s">
        <v>80</v>
      </c>
      <c r="J30" s="59" t="s">
        <v>9</v>
      </c>
      <c r="K30" s="60" t="s">
        <v>10</v>
      </c>
      <c r="L30" s="68"/>
    </row>
    <row r="31" spans="1:12" ht="15.75" thickBot="1" x14ac:dyDescent="0.3">
      <c r="A31" s="64"/>
      <c r="B31" s="69"/>
      <c r="C31" s="69"/>
      <c r="D31" s="69"/>
      <c r="E31" s="69"/>
      <c r="F31" s="69"/>
      <c r="G31" s="69"/>
      <c r="H31" s="69"/>
      <c r="I31" s="58" t="s">
        <v>80</v>
      </c>
      <c r="J31" s="59" t="s">
        <v>9</v>
      </c>
      <c r="K31" s="60" t="s">
        <v>10</v>
      </c>
      <c r="L31" s="68"/>
    </row>
    <row r="32" spans="1:12" ht="15.75" thickBot="1" x14ac:dyDescent="0.3">
      <c r="A32" s="64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8"/>
    </row>
    <row r="33" spans="1:12" ht="15.75" thickBot="1" x14ac:dyDescent="0.3">
      <c r="A33" s="64"/>
      <c r="B33" s="69"/>
      <c r="C33" s="69"/>
      <c r="D33" s="69"/>
      <c r="E33" s="55" t="s">
        <v>5</v>
      </c>
      <c r="F33" s="56" t="s">
        <v>52</v>
      </c>
      <c r="G33" s="56" t="s">
        <v>6</v>
      </c>
      <c r="H33" s="57" t="s">
        <v>27</v>
      </c>
      <c r="I33" s="58" t="s">
        <v>80</v>
      </c>
      <c r="J33" s="59" t="s">
        <v>9</v>
      </c>
      <c r="K33" s="60" t="s">
        <v>10</v>
      </c>
      <c r="L33" s="68"/>
    </row>
    <row r="34" spans="1:12" ht="15.75" thickBot="1" x14ac:dyDescent="0.3">
      <c r="A34" s="64"/>
      <c r="B34" s="69"/>
      <c r="C34" s="69"/>
      <c r="D34" s="69"/>
      <c r="E34" s="69"/>
      <c r="F34" s="69"/>
      <c r="G34" s="69"/>
      <c r="H34" s="69"/>
      <c r="I34" s="58" t="s">
        <v>80</v>
      </c>
      <c r="J34" s="59" t="s">
        <v>9</v>
      </c>
      <c r="K34" s="60" t="s">
        <v>10</v>
      </c>
      <c r="L34" s="68"/>
    </row>
    <row r="35" spans="1:12" ht="15.75" thickBot="1" x14ac:dyDescent="0.3">
      <c r="A35" s="64"/>
      <c r="B35" s="69"/>
      <c r="C35" s="69"/>
      <c r="D35" s="69"/>
      <c r="E35" s="69"/>
      <c r="F35" s="69"/>
      <c r="G35" s="69"/>
      <c r="H35" s="69"/>
      <c r="I35" s="58" t="s">
        <v>80</v>
      </c>
      <c r="J35" s="59" t="s">
        <v>9</v>
      </c>
      <c r="K35" s="60" t="s">
        <v>10</v>
      </c>
      <c r="L35" s="68"/>
    </row>
    <row r="36" spans="1:12" ht="15.75" thickBot="1" x14ac:dyDescent="0.3">
      <c r="A36" s="64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8"/>
    </row>
    <row r="37" spans="1:12" ht="15.75" thickBot="1" x14ac:dyDescent="0.3">
      <c r="A37" s="64"/>
      <c r="B37" s="69"/>
      <c r="C37" s="69"/>
      <c r="D37" s="69"/>
      <c r="E37" s="55" t="s">
        <v>5</v>
      </c>
      <c r="F37" s="56" t="s">
        <v>52</v>
      </c>
      <c r="G37" s="56" t="s">
        <v>6</v>
      </c>
      <c r="H37" s="57" t="s">
        <v>27</v>
      </c>
      <c r="I37" s="58" t="s">
        <v>80</v>
      </c>
      <c r="J37" s="59" t="s">
        <v>9</v>
      </c>
      <c r="K37" s="60" t="s">
        <v>10</v>
      </c>
      <c r="L37" s="68"/>
    </row>
    <row r="38" spans="1:12" ht="15.75" thickBot="1" x14ac:dyDescent="0.3">
      <c r="A38" s="64"/>
      <c r="B38" s="69"/>
      <c r="C38" s="69"/>
      <c r="D38" s="69"/>
      <c r="E38" s="69"/>
      <c r="F38" s="69"/>
      <c r="G38" s="69"/>
      <c r="H38" s="69"/>
      <c r="I38" s="58" t="s">
        <v>80</v>
      </c>
      <c r="J38" s="59" t="s">
        <v>9</v>
      </c>
      <c r="K38" s="60" t="s">
        <v>10</v>
      </c>
      <c r="L38" s="68"/>
    </row>
    <row r="39" spans="1:12" ht="15.75" thickBot="1" x14ac:dyDescent="0.3">
      <c r="A39" s="64"/>
      <c r="B39" s="69"/>
      <c r="C39" s="69"/>
      <c r="D39" s="69"/>
      <c r="E39" s="69"/>
      <c r="F39" s="69"/>
      <c r="G39" s="69"/>
      <c r="H39" s="69"/>
      <c r="I39" s="58" t="s">
        <v>80</v>
      </c>
      <c r="J39" s="59" t="s">
        <v>9</v>
      </c>
      <c r="K39" s="60" t="s">
        <v>10</v>
      </c>
      <c r="L39" s="68"/>
    </row>
    <row r="40" spans="1:12" ht="15.75" thickBot="1" x14ac:dyDescent="0.3">
      <c r="A40" s="65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 00 - Cadastro</vt:lpstr>
      <vt:lpstr>Tabela 01 - Serviços</vt:lpstr>
      <vt:lpstr>Tabela 02 - Acompanhamento</vt:lpstr>
      <vt:lpstr>Auxiliar</vt:lpstr>
      <vt:lpstr>Relações entre 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Barcelos de Souza</dc:creator>
  <cp:lastModifiedBy>Mateus Barcelos de Souza</cp:lastModifiedBy>
  <dcterms:created xsi:type="dcterms:W3CDTF">2015-06-05T18:19:34Z</dcterms:created>
  <dcterms:modified xsi:type="dcterms:W3CDTF">2026-01-22T18:43:25Z</dcterms:modified>
</cp:coreProperties>
</file>